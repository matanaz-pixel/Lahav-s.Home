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יכום" sheetId="1" state="visible" r:id="rId3"/>
    <sheet name="מחירים" sheetId="2" state="visible" r:id="rId4"/>
    <sheet name="מתכוני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<sst xmlns="http://schemas.openxmlformats.org/spreadsheetml/2006/main" count="226" uniqueCount="77">
  <si>
    <t xml:space="preserve">5 מאפים בעלות נמוכה – סיכום עלויות (רמי לוי)</t>
  </si>
  <si>
    <t xml:space="preserve">מתכון</t>
  </si>
  <si>
    <t xml:space="preserve">עלות מתכון</t>
  </si>
  <si>
    <t xml:space="preserve">יחידות</t>
  </si>
  <si>
    <t xml:space="preserve">עלות ליחידה</t>
  </si>
  <si>
    <t xml:space="preserve">1. מאפינס בטטה ותירס (גם לתינוקת)</t>
  </si>
  <si>
    <t xml:space="preserve">2. מאפינס ברוקולי וקישוא (גם לתינוקת)</t>
  </si>
  <si>
    <t xml:space="preserve">3. פיצה מגש לריבועים</t>
  </si>
  <si>
    <t xml:space="preserve">4. שבלולי ברוקולי וקוטג'</t>
  </si>
  <si>
    <t xml:space="preserve">5. סמבוסקי פיצה וטונה (מהסרטון)</t>
  </si>
  <si>
    <t xml:space="preserve">סה"כ 5 מתכונים (עלות שימוש בפועל)</t>
  </si>
  <si>
    <t xml:space="preserve">רשימת קניות – סל אחד ברמי לוי</t>
  </si>
  <si>
    <t xml:space="preserve">מוצר</t>
  </si>
  <si>
    <t xml:space="preserve">כמות נדרשת</t>
  </si>
  <si>
    <t xml:space="preserve">אריזות לקנייה</t>
  </si>
  <si>
    <t xml:space="preserve">עלות בקופה</t>
  </si>
  <si>
    <t xml:space="preserve">יחידה</t>
  </si>
  <si>
    <t xml:space="preserve">סה"כ בקופה</t>
  </si>
  <si>
    <t xml:space="preserve">מה נשאר בבית אחרי ההכנה (שווי)</t>
  </si>
  <si>
    <t xml:space="preserve">הערות:</t>
  </si>
  <si>
    <t xml:space="preserve">• 'עלות שימוש' = רק מה שנכנס למאפים. 'בקופה' = אריזות שלמות (נשאר קמח, ביצים, שמן, אבקת אפייה, טונה ותירס לפעם הבאה).</t>
  </si>
  <si>
    <t xml:space="preserve">• ויקטורי: בכל מוצר שנמצא בשתי הרשתות, רמי לוי היה זול או שווה (ביצים, קוטג', טונה). לכן הסל כולו ברמי לוי, עדיף באונליין.</t>
  </si>
  <si>
    <t xml:space="preserve">• מחירים צהובים בגיליון 'מחירים' הם הערכה. לעדכן אותם לפי האתר, וכל העלויות יתעדכנו אוטומטית.</t>
  </si>
  <si>
    <t xml:space="preserve">• מאפינס 1-2 לתינוקת: בלי מלח, תירס טחון, קוטג' בכמות קטנה בלבד.</t>
  </si>
  <si>
    <t xml:space="preserve">מחירי מוצרים – רמי לוי מול ויקטורי (אזור חדרה / אונליין), נבדק 13.10.2026</t>
  </si>
  <si>
    <t xml:space="preserve">כחול = נתון שהוזן ידנית. ירוק = מחיר שאומת. צהוב = הערכה, יש לבדוק באתר לפני קנייה. מקור: chp.co.il (נתוני חוק שקיפות המחירים).</t>
  </si>
  <si>
    <t xml:space="preserve">יחידת מידה</t>
  </si>
  <si>
    <t xml:space="preserve">כמות באריזה</t>
  </si>
  <si>
    <t xml:space="preserve">מחיר רמי לוי</t>
  </si>
  <si>
    <t xml:space="preserve">מחיר ויקטורי</t>
  </si>
  <si>
    <t xml:space="preserve">נמכר לפי משקל?</t>
  </si>
  <si>
    <t xml:space="preserve">סטטוס</t>
  </si>
  <si>
    <t xml:space="preserve">הערות</t>
  </si>
  <si>
    <t xml:space="preserve">קמח כוסמין מלא 100% נפלאות 1 ק"ג</t>
  </si>
  <si>
    <t xml:space="preserve">גרם</t>
  </si>
  <si>
    <t xml:space="preserve">לא נמצא</t>
  </si>
  <si>
    <t xml:space="preserve">לא</t>
  </si>
  <si>
    <t xml:space="preserve">מאומת</t>
  </si>
  <si>
    <t xml:space="preserve">רמי לוי אונליין 14.70; בסניף 14.90. ויקטורי – לא נמצא</t>
  </si>
  <si>
    <t xml:space="preserve">יוגורט 3% גביע 200 גרם</t>
  </si>
  <si>
    <t xml:space="preserve">הערכה</t>
  </si>
  <si>
    <t xml:space="preserve">מחיר לא קריא במקור; מבצעים נראו ב-4.00. עדיף מותג פרטי / מארז</t>
  </si>
  <si>
    <t xml:space="preserve">ביצים L, 12 יח'</t>
  </si>
  <si>
    <t xml:space="preserve">מחיר מפוקח</t>
  </si>
  <si>
    <t xml:space="preserve">שמן קנולה רמי לוי 1 ליטר</t>
  </si>
  <si>
    <t xml:space="preserve">מ"ל</t>
  </si>
  <si>
    <t xml:space="preserve">מבצע בסניף: 7.50</t>
  </si>
  <si>
    <t xml:space="preserve">אבקת אפייה 150 גרם</t>
  </si>
  <si>
    <t xml:space="preserve">מחיר לא קריא במקור</t>
  </si>
  <si>
    <t xml:space="preserve">בטטה (לק"ג)</t>
  </si>
  <si>
    <t xml:space="preserve">כן</t>
  </si>
  <si>
    <t xml:space="preserve">ירק במשקל – מחיר משתנה שבועית</t>
  </si>
  <si>
    <t xml:space="preserve">קישוא (לק"ג)</t>
  </si>
  <si>
    <t xml:space="preserve">ברוקולי קפוא רמי לוי 800 גרם</t>
  </si>
  <si>
    <t xml:space="preserve">חסלט 600 גרם: 29.60 ברמי לוי / 31.90 בוויקטורי – המותג הפרטי זול פי 2.8</t>
  </si>
  <si>
    <t xml:space="preserve">תירס מתוק שימורים רמי לוי 335 גרם</t>
  </si>
  <si>
    <t xml:space="preserve">גרם (מסונן)</t>
  </si>
  <si>
    <t xml:space="preserve">אונליין 8.40; בסניף 7.90 ובמבצע 5.00. משקל מסונן כ-230 גרם</t>
  </si>
  <si>
    <t xml:space="preserve">קוטג' 5% 250 גרם</t>
  </si>
  <si>
    <t xml:space="preserve">ויקטורי אונליין 6.90; ויקטורי עמק חפר 7.10</t>
  </si>
  <si>
    <t xml:space="preserve">מוצרלה מגורדת 200 גרם</t>
  </si>
  <si>
    <t xml:space="preserve">רמי לוי אונליין 19.70; בסניף 24.70 (מבצע 19.90)</t>
  </si>
  <si>
    <t xml:space="preserve">טונה בשמן סטארקיסט 4×160 גרם</t>
  </si>
  <si>
    <t xml:space="preserve">קופסה</t>
  </si>
  <si>
    <t xml:space="preserve">רמי לוי אונליין 19.70; ויקטורי אונליין 25.90 (מבצע 23.00)</t>
  </si>
  <si>
    <t xml:space="preserve">רסק עגבניות 100 גרם</t>
  </si>
  <si>
    <t xml:space="preserve">קמח לבן רמי לוי 1 ק"ג</t>
  </si>
  <si>
    <t xml:space="preserve">מותג פרטי, בסניף ובאונליין 3.80</t>
  </si>
  <si>
    <t xml:space="preserve">גבינה צהובה 28% מהדלפק (לק"ג)</t>
  </si>
  <si>
    <t xml:space="preserve">דלפק רמי לוי 31 ₪ לק"ג (מעריב, השוואת סל). לבקש פרוס דק או לגרד בבית</t>
  </si>
  <si>
    <t xml:space="preserve">שומשום רמי לוי 400 גרם</t>
  </si>
  <si>
    <t xml:space="preserve">מחיר לא קריא במקור (כ-17-18). אפשר לוותר, זה רק לקישוט</t>
  </si>
  <si>
    <t xml:space="preserve">עלות לכל מתכון (12 יחידות; סמבוסקים: 20). הכמויות בכחול ניתנות לשינוי, והעלויות מתעדכנות.</t>
  </si>
  <si>
    <t xml:space="preserve">כמות</t>
  </si>
  <si>
    <t xml:space="preserve">מחיר אריזה</t>
  </si>
  <si>
    <t xml:space="preserve">עלות בפועל</t>
  </si>
  <si>
    <t xml:space="preserve">סה"כ למתכון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</si>
</sst>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₪&quot;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f aca="false">מתכונים!G12</f>
        <v>17.6757971014493</v>
      </c>
      <c r="C4" s="5" t="n">
        <v>12</v>
      </c>
      <c r="D4" s="4" t="n">
        <f aca="false">B4/C4</f>
        <v>1.47298309178744</v>
      </c>
    </row>
    <row r="5" customFormat="false" ht="15" hidden="false" customHeight="false" outlineLevel="0" collapsed="false">
      <c r="A5" s="3" t="s">
        <v>6</v>
      </c>
      <c r="B5" s="4" t="n">
        <f aca="false">מתכונים!G22</f>
        <v>17.4809166666667</v>
      </c>
      <c r="C5" s="5" t="n">
        <v>12</v>
      </c>
      <c r="D5" s="4" t="n">
        <f aca="false">B5/C5</f>
        <v>1.45674305555556</v>
      </c>
    </row>
    <row r="6" customFormat="false" ht="15" hidden="false" customHeight="false" outlineLevel="0" collapsed="false">
      <c r="A6" s="3" t="s">
        <v>7</v>
      </c>
      <c r="B6" s="4" t="n">
        <f aca="false">מתכונים!G33</f>
        <v>27.4402971014493</v>
      </c>
      <c r="C6" s="5" t="n">
        <v>12</v>
      </c>
      <c r="D6" s="4" t="n">
        <f aca="false">B6/C6</f>
        <v>2.28669142512077</v>
      </c>
    </row>
    <row r="7" customFormat="false" ht="15" hidden="false" customHeight="false" outlineLevel="0" collapsed="false">
      <c r="A7" s="3" t="s">
        <v>8</v>
      </c>
      <c r="B7" s="4" t="n">
        <f aca="false">מתכונים!G43</f>
        <v>26.9908333333333</v>
      </c>
      <c r="C7" s="5" t="n">
        <v>12</v>
      </c>
      <c r="D7" s="4" t="n">
        <f aca="false">B7/C7</f>
        <v>2.24923611111111</v>
      </c>
    </row>
    <row r="8" customFormat="false" ht="15" hidden="false" customHeight="false" outlineLevel="0" collapsed="false">
      <c r="A8" s="3" t="s">
        <v>9</v>
      </c>
      <c r="B8" s="4" t="n">
        <f aca="false">מתכונים!G55</f>
        <v>18.165</v>
      </c>
      <c r="C8" s="5" t="n">
        <v>20</v>
      </c>
      <c r="D8" s="4" t="n">
        <f aca="false">B8/C8</f>
        <v>0.90825</v>
      </c>
    </row>
    <row r="9" customFormat="false" ht="15" hidden="false" customHeight="false" outlineLevel="0" collapsed="false">
      <c r="A9" s="6" t="s">
        <v>10</v>
      </c>
      <c r="B9" s="7" t="n">
        <f aca="false">SUM(B4:B8)</f>
        <v>107.752844202899</v>
      </c>
      <c r="C9" s="6" t="n">
        <f aca="false">SUM(C4:C8)</f>
        <v>68</v>
      </c>
      <c r="D9" s="7" t="n">
        <f aca="false">B9/C9</f>
        <v>1.58460065004263</v>
      </c>
    </row>
    <row r="12" customFormat="false" ht="15" hidden="false" customHeight="false" outlineLevel="0" collapsed="false">
      <c r="A12" s="8" t="s">
        <v>11</v>
      </c>
    </row>
    <row r="13" customFormat="false" ht="15" hidden="false" customHeight="false" outlineLevel="0" collapsed="false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</row>
    <row r="14" customFormat="false" ht="15" hidden="false" customHeight="false" outlineLevel="0" collapsed="false">
      <c r="A14" s="3" t="str">
        <f aca="false">מחירים!A5</f>
        <v>קמח כוסמין מלא 100% נפלאות 1 ק"ג</v>
      </c>
      <c r="B14" s="3" t="n">
        <f aca="false">SUMIF(מתכונים!$B:$B,A14,מתכונים!$C:$C)</f>
        <v>1100</v>
      </c>
      <c r="C14" s="9" t="n">
        <f aca="false">IF(מחירים!F5="כן",B14/מחירים!C5,ROUNDUP(B14/מחירים!C5,0))</f>
        <v>2</v>
      </c>
      <c r="D14" s="4" t="n">
        <f aca="false">C14*מחירים!D5</f>
        <v>29.4</v>
      </c>
      <c r="E14" s="3" t="str">
        <f aca="false">מחירים!B5</f>
        <v>גרם</v>
      </c>
    </row>
    <row r="15" customFormat="false" ht="15" hidden="false" customHeight="false" outlineLevel="0" collapsed="false">
      <c r="A15" s="3" t="str">
        <f aca="false">מחירים!A6</f>
        <v>יוגורט 3% גביע 200 גרם</v>
      </c>
      <c r="B15" s="3" t="n">
        <f aca="false">SUMIF(מתכונים!$B:$B,A15,מתכונים!$C:$C)</f>
        <v>1200</v>
      </c>
      <c r="C15" s="9" t="n">
        <f aca="false">IF(מחירים!F6="כן",B15/מחירים!C6,ROUNDUP(B15/מחירים!C6,0))</f>
        <v>6</v>
      </c>
      <c r="D15" s="4" t="n">
        <f aca="false">C15*מחירים!D6</f>
        <v>23.4</v>
      </c>
      <c r="E15" s="3" t="str">
        <f aca="false">מחירים!B6</f>
        <v>גרם</v>
      </c>
    </row>
    <row r="16" customFormat="false" ht="15" hidden="false" customHeight="false" outlineLevel="0" collapsed="false">
      <c r="A16" s="3" t="str">
        <f aca="false">מחירים!A7</f>
        <v>ביצים L, 12 יח'</v>
      </c>
      <c r="B16" s="3" t="n">
        <f aca="false">SUMIF(מתכונים!$B:$B,A16,מתכונים!$C:$C)</f>
        <v>6</v>
      </c>
      <c r="C16" s="9" t="n">
        <f aca="false">IF(מחירים!F7="כן",B16/מחירים!C7,ROUNDUP(B16/מחירים!C7,0))</f>
        <v>1</v>
      </c>
      <c r="D16" s="4" t="n">
        <f aca="false">C16*מחירים!D7</f>
        <v>14</v>
      </c>
      <c r="E16" s="3" t="str">
        <f aca="false">מחירים!B7</f>
        <v>יחידה</v>
      </c>
    </row>
    <row r="17" customFormat="false" ht="15" hidden="false" customHeight="false" outlineLevel="0" collapsed="false">
      <c r="A17" s="3" t="str">
        <f aca="false">מחירים!A8</f>
        <v>שמן קנולה רמי לוי 1 ליטר</v>
      </c>
      <c r="B17" s="3" t="n">
        <f aca="false">SUMIF(מתכונים!$B:$B,A17,מתכונים!$C:$C)</f>
        <v>210</v>
      </c>
      <c r="C17" s="9" t="n">
        <f aca="false">IF(מחירים!F8="כן",B17/מחירים!C8,ROUNDUP(B17/מחירים!C8,0))</f>
        <v>1</v>
      </c>
      <c r="D17" s="4" t="n">
        <f aca="false">C17*מחירים!D8</f>
        <v>8.9</v>
      </c>
      <c r="E17" s="3" t="str">
        <f aca="false">מחירים!B8</f>
        <v>מ"ל</v>
      </c>
    </row>
    <row r="18" customFormat="false" ht="15" hidden="false" customHeight="false" outlineLevel="0" collapsed="false">
      <c r="A18" s="3" t="str">
        <f aca="false">מחירים!A9</f>
        <v>אבקת אפייה 150 גרם</v>
      </c>
      <c r="B18" s="3" t="n">
        <f aca="false">SUMIF(מתכונים!$B:$B,A18,מתכונים!$C:$C)</f>
        <v>44</v>
      </c>
      <c r="C18" s="9" t="n">
        <f aca="false">IF(מחירים!F9="כן",B18/מחירים!C9,ROUNDUP(B18/מחירים!C9,0))</f>
        <v>1</v>
      </c>
      <c r="D18" s="4" t="n">
        <f aca="false">C18*מחירים!D9</f>
        <v>4.9</v>
      </c>
      <c r="E18" s="3" t="str">
        <f aca="false">מחירים!B9</f>
        <v>גרם</v>
      </c>
    </row>
    <row r="19" customFormat="false" ht="15" hidden="false" customHeight="false" outlineLevel="0" collapsed="false">
      <c r="A19" s="3" t="str">
        <f aca="false">מחירים!A10</f>
        <v>בטטה (לק"ג)</v>
      </c>
      <c r="B19" s="3" t="n">
        <f aca="false">SUMIF(מתכונים!$B:$B,A19,מתכונים!$C:$C)</f>
        <v>300</v>
      </c>
      <c r="C19" s="9" t="n">
        <f aca="false">IF(מחירים!F10="כן",B19/מחירים!C10,ROUNDUP(B19/מחירים!C10,0))</f>
        <v>0.3</v>
      </c>
      <c r="D19" s="4" t="n">
        <f aca="false">C19*מחירים!D10</f>
        <v>2.37</v>
      </c>
      <c r="E19" s="3" t="str">
        <f aca="false">מחירים!B10</f>
        <v>גרם</v>
      </c>
    </row>
    <row r="20" customFormat="false" ht="15" hidden="false" customHeight="false" outlineLevel="0" collapsed="false">
      <c r="A20" s="3" t="str">
        <f aca="false">מחירים!A11</f>
        <v>קישוא (לק"ג)</v>
      </c>
      <c r="B20" s="3" t="n">
        <f aca="false">SUMIF(מתכונים!$B:$B,A20,מתכונים!$C:$C)</f>
        <v>350</v>
      </c>
      <c r="C20" s="9" t="n">
        <f aca="false">IF(מחירים!F11="כן",B20/מחירים!C11,ROUNDUP(B20/מחירים!C11,0))</f>
        <v>0.35</v>
      </c>
      <c r="D20" s="4" t="n">
        <f aca="false">C20*מחירים!D11</f>
        <v>3.115</v>
      </c>
      <c r="E20" s="3" t="str">
        <f aca="false">מחירים!B11</f>
        <v>גרם</v>
      </c>
    </row>
    <row r="21" customFormat="false" ht="15" hidden="false" customHeight="false" outlineLevel="0" collapsed="false">
      <c r="A21" s="3" t="str">
        <f aca="false">מחירים!A12</f>
        <v>ברוקולי קפוא רמי לוי 800 גרם</v>
      </c>
      <c r="B21" s="3" t="n">
        <f aca="false">SUMIF(מתכונים!$B:$B,A21,מתכונים!$C:$C)</f>
        <v>550</v>
      </c>
      <c r="C21" s="9" t="n">
        <f aca="false">IF(מחירים!F12="כן",B21/מחירים!C12,ROUNDUP(B21/מחירים!C12,0))</f>
        <v>1</v>
      </c>
      <c r="D21" s="4" t="n">
        <f aca="false">C21*מחירים!D12</f>
        <v>13.9</v>
      </c>
      <c r="E21" s="3" t="str">
        <f aca="false">מחירים!B12</f>
        <v>גרם</v>
      </c>
    </row>
    <row r="22" customFormat="false" ht="15" hidden="false" customHeight="false" outlineLevel="0" collapsed="false">
      <c r="A22" s="3" t="str">
        <f aca="false">מחירים!A13</f>
        <v>תירס מתוק שימורים רמי לוי 335 גרם</v>
      </c>
      <c r="B22" s="3" t="n">
        <f aca="false">SUMIF(מתכונים!$B:$B,A22,מתכונים!$C:$C)</f>
        <v>150</v>
      </c>
      <c r="C22" s="9" t="n">
        <f aca="false">IF(מחירים!F13="כן",B22/מחירים!C13,ROUNDUP(B22/מחירים!C13,0))</f>
        <v>1</v>
      </c>
      <c r="D22" s="4" t="n">
        <f aca="false">C22*מחירים!D13</f>
        <v>8.4</v>
      </c>
      <c r="E22" s="3" t="str">
        <f aca="false">מחירים!B13</f>
        <v>גרם (מסונן)</v>
      </c>
    </row>
    <row r="23" customFormat="false" ht="15" hidden="false" customHeight="false" outlineLevel="0" collapsed="false">
      <c r="A23" s="3" t="str">
        <f aca="false">מחירים!A14</f>
        <v>קוטג' 5% 250 גרם</v>
      </c>
      <c r="B23" s="3" t="n">
        <f aca="false">SUMIF(מתכונים!$B:$B,A23,מתכונים!$C:$C)</f>
        <v>400</v>
      </c>
      <c r="C23" s="9" t="n">
        <f aca="false">IF(מחירים!F14="כן",B23/מחירים!C14,ROUNDUP(B23/מחירים!C14,0))</f>
        <v>2</v>
      </c>
      <c r="D23" s="4" t="n">
        <f aca="false">C23*מחירים!D14</f>
        <v>13.2</v>
      </c>
      <c r="E23" s="3" t="str">
        <f aca="false">מחירים!B14</f>
        <v>גרם</v>
      </c>
    </row>
    <row r="24" customFormat="false" ht="15" hidden="false" customHeight="false" outlineLevel="0" collapsed="false">
      <c r="A24" s="3" t="str">
        <f aca="false">מחירים!A15</f>
        <v>מוצרלה מגורדת 200 גרם</v>
      </c>
      <c r="B24" s="3" t="n">
        <f aca="false">SUMIF(מתכונים!$B:$B,A24,מתכונים!$C:$C)</f>
        <v>150</v>
      </c>
      <c r="C24" s="9" t="n">
        <f aca="false">IF(מחירים!F15="כן",B24/מחירים!C15,ROUNDUP(B24/מחירים!C15,0))</f>
        <v>1</v>
      </c>
      <c r="D24" s="4" t="n">
        <f aca="false">C24*מחירים!D15</f>
        <v>19.7</v>
      </c>
      <c r="E24" s="3" t="str">
        <f aca="false">מחירים!B15</f>
        <v>גרם</v>
      </c>
    </row>
    <row r="25" customFormat="false" ht="15" hidden="false" customHeight="false" outlineLevel="0" collapsed="false">
      <c r="A25" s="3" t="str">
        <f aca="false">מחירים!A16</f>
        <v>טונה בשמן סטארקיסט 4×160 גרם</v>
      </c>
      <c r="B25" s="3" t="n">
        <f aca="false">SUMIF(מתכונים!$B:$B,A25,מתכונים!$C:$C)</f>
        <v>1</v>
      </c>
      <c r="C25" s="9" t="n">
        <f aca="false">IF(מחירים!F16="כן",B25/מחירים!C16,ROUNDUP(B25/מחירים!C16,0))</f>
        <v>1</v>
      </c>
      <c r="D25" s="4" t="n">
        <f aca="false">C25*מחירים!D16</f>
        <v>19.7</v>
      </c>
      <c r="E25" s="3" t="str">
        <f aca="false">מחירים!B16</f>
        <v>קופסה</v>
      </c>
    </row>
    <row r="26" customFormat="false" ht="15" hidden="false" customHeight="false" outlineLevel="0" collapsed="false">
      <c r="A26" s="3" t="str">
        <f aca="false">מחירים!A17</f>
        <v>רסק עגבניות 100 גרם</v>
      </c>
      <c r="B26" s="3" t="n">
        <f aca="false">SUMIF(מתכונים!$B:$B,A26,מתכונים!$C:$C)</f>
        <v>160</v>
      </c>
      <c r="C26" s="9" t="n">
        <f aca="false">IF(מחירים!F17="כן",B26/מחירים!C17,ROUNDUP(B26/מחירים!C17,0))</f>
        <v>2</v>
      </c>
      <c r="D26" s="4" t="n">
        <f aca="false">C26*מחירים!D17</f>
        <v>3.8</v>
      </c>
      <c r="E26" s="3" t="str">
        <f aca="false">מחירים!B17</f>
        <v>גרם</v>
      </c>
    </row>
    <row r="27" customFormat="false" ht="15" hidden="false" customHeight="false" outlineLevel="0" collapsed="false">
      <c r="A27" s="3" t="str">
        <f aca="false">מחירים!A18</f>
        <v>קמח לבן רמי לוי 1 ק"ג</v>
      </c>
      <c r="B27" s="3" t="n">
        <f aca="false">SUMIF(מתכונים!$B:$B,A27,מתכונים!$C:$C)</f>
        <v>140</v>
      </c>
      <c r="C27" s="9" t="n">
        <f aca="false">IF(מחירים!F18="כן",B27/מחירים!C18,ROUNDUP(B27/מחירים!C18,0))</f>
        <v>1</v>
      </c>
      <c r="D27" s="4" t="n">
        <f aca="false">C27*מחירים!D18</f>
        <v>3.8</v>
      </c>
      <c r="E27" s="3" t="str">
        <f aca="false">מחירים!B18</f>
        <v>גרם</v>
      </c>
    </row>
    <row r="28" customFormat="false" ht="15" hidden="false" customHeight="false" outlineLevel="0" collapsed="false">
      <c r="A28" s="3" t="str">
        <f aca="false">מחירים!A19</f>
        <v>גבינה צהובה 28% מהדלפק (לק"ג)</v>
      </c>
      <c r="B28" s="3" t="n">
        <f aca="false">SUMIF(מתכונים!$B:$B,A28,מתכונים!$C:$C)</f>
        <v>100</v>
      </c>
      <c r="C28" s="9" t="n">
        <f aca="false">IF(מחירים!F19="כן",B28/מחירים!C19,ROUNDUP(B28/מחירים!C19,0))</f>
        <v>0.1</v>
      </c>
      <c r="D28" s="4" t="n">
        <f aca="false">C28*מחירים!D19</f>
        <v>3.1</v>
      </c>
      <c r="E28" s="3" t="str">
        <f aca="false">מחירים!B19</f>
        <v>גרם</v>
      </c>
    </row>
    <row r="29" customFormat="false" ht="15" hidden="false" customHeight="false" outlineLevel="0" collapsed="false">
      <c r="A29" s="3" t="str">
        <f aca="false">מחירים!A20</f>
        <v>שומשום רמי לוי 400 גרם</v>
      </c>
      <c r="B29" s="3" t="n">
        <f aca="false">SUMIF(מתכונים!$B:$B,A29,מתכונים!$C:$C)</f>
        <v>10</v>
      </c>
      <c r="C29" s="9" t="n">
        <f aca="false">IF(מחירים!F20="כן",B29/מחירים!C20,ROUNDUP(B29/מחירים!C20,0))</f>
        <v>1</v>
      </c>
      <c r="D29" s="4" t="n">
        <f aca="false">C29*מחירים!D20</f>
        <v>17</v>
      </c>
      <c r="E29" s="3" t="str">
        <f aca="false">מחירים!B20</f>
        <v>גרם</v>
      </c>
    </row>
    <row r="30" customFormat="false" ht="15" hidden="false" customHeight="false" outlineLevel="0" collapsed="false">
      <c r="A30" s="6" t="s">
        <v>17</v>
      </c>
      <c r="D30" s="7" t="n">
        <f aca="false">SUM(D14:D29)</f>
        <v>188.685</v>
      </c>
    </row>
    <row r="31" customFormat="false" ht="15" hidden="false" customHeight="false" outlineLevel="0" collapsed="false">
      <c r="A31" s="10" t="s">
        <v>18</v>
      </c>
      <c r="D31" s="11" t="n">
        <f aca="false">D30-B9</f>
        <v>80.9321557971014</v>
      </c>
    </row>
    <row r="33" customFormat="false" ht="15" hidden="false" customHeight="false" outlineLevel="0" collapsed="false">
      <c r="A33" s="6" t="s">
        <v>19</v>
      </c>
    </row>
    <row r="34" customFormat="false" ht="15" hidden="false" customHeight="false" outlineLevel="0" collapsed="false">
      <c r="A34" s="10" t="s">
        <v>20</v>
      </c>
    </row>
    <row r="35" customFormat="false" ht="15" hidden="false" customHeight="false" outlineLevel="0" collapsed="false">
      <c r="A35" s="10" t="s">
        <v>21</v>
      </c>
    </row>
    <row r="36" customFormat="false" ht="15" hidden="false" customHeight="false" outlineLevel="0" collapsed="false">
      <c r="A36" s="10" t="s">
        <v>22</v>
      </c>
    </row>
    <row r="37" customFormat="false" ht="15" hidden="false" customHeight="false" outlineLevel="0" collapsed="false">
      <c r="A37" s="1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2" t="s">
        <v>24</v>
      </c>
    </row>
    <row r="2" customFormat="false" ht="15" hidden="false" customHeight="false" outlineLevel="0" collapsed="false">
      <c r="A2" s="13" t="s">
        <v>25</v>
      </c>
    </row>
    <row r="4" customFormat="false" ht="26.85" hidden="false" customHeight="false" outlineLevel="0" collapsed="false">
      <c r="A4" s="2" t="s">
        <v>12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</row>
    <row r="5" customFormat="false" ht="15" hidden="false" customHeight="false" outlineLevel="0" collapsed="false">
      <c r="A5" s="3" t="s">
        <v>33</v>
      </c>
      <c r="B5" s="3" t="s">
        <v>34</v>
      </c>
      <c r="C5" s="5" t="n">
        <v>1000</v>
      </c>
      <c r="D5" s="14" t="n">
        <v>14.7</v>
      </c>
      <c r="E5" s="15" t="s">
        <v>35</v>
      </c>
      <c r="F5" s="3" t="s">
        <v>36</v>
      </c>
      <c r="G5" s="16" t="s">
        <v>37</v>
      </c>
      <c r="H5" s="3" t="s">
        <v>38</v>
      </c>
    </row>
    <row r="6" customFormat="false" ht="15" hidden="false" customHeight="false" outlineLevel="0" collapsed="false">
      <c r="A6" s="3" t="s">
        <v>39</v>
      </c>
      <c r="B6" s="3" t="s">
        <v>34</v>
      </c>
      <c r="C6" s="5" t="n">
        <v>200</v>
      </c>
      <c r="D6" s="14" t="n">
        <v>3.9</v>
      </c>
      <c r="E6" s="15" t="s">
        <v>35</v>
      </c>
      <c r="F6" s="3" t="s">
        <v>36</v>
      </c>
      <c r="G6" s="17" t="s">
        <v>40</v>
      </c>
      <c r="H6" s="3" t="s">
        <v>41</v>
      </c>
    </row>
    <row r="7" customFormat="false" ht="15" hidden="false" customHeight="false" outlineLevel="0" collapsed="false">
      <c r="A7" s="3" t="s">
        <v>42</v>
      </c>
      <c r="B7" s="3" t="s">
        <v>16</v>
      </c>
      <c r="C7" s="5" t="n">
        <v>12</v>
      </c>
      <c r="D7" s="14" t="n">
        <v>14</v>
      </c>
      <c r="E7" s="14" t="n">
        <v>14.24</v>
      </c>
      <c r="F7" s="3" t="s">
        <v>36</v>
      </c>
      <c r="G7" s="16" t="s">
        <v>37</v>
      </c>
      <c r="H7" s="3" t="s">
        <v>43</v>
      </c>
    </row>
    <row r="8" customFormat="false" ht="15" hidden="false" customHeight="false" outlineLevel="0" collapsed="false">
      <c r="A8" s="3" t="s">
        <v>44</v>
      </c>
      <c r="B8" s="3" t="s">
        <v>45</v>
      </c>
      <c r="C8" s="5" t="n">
        <v>1000</v>
      </c>
      <c r="D8" s="14" t="n">
        <v>8.9</v>
      </c>
      <c r="E8" s="15" t="s">
        <v>35</v>
      </c>
      <c r="F8" s="3" t="s">
        <v>36</v>
      </c>
      <c r="G8" s="16" t="s">
        <v>37</v>
      </c>
      <c r="H8" s="3" t="s">
        <v>46</v>
      </c>
    </row>
    <row r="9" customFormat="false" ht="15" hidden="false" customHeight="false" outlineLevel="0" collapsed="false">
      <c r="A9" s="3" t="s">
        <v>47</v>
      </c>
      <c r="B9" s="3" t="s">
        <v>34</v>
      </c>
      <c r="C9" s="5" t="n">
        <v>150</v>
      </c>
      <c r="D9" s="14" t="n">
        <v>4.9</v>
      </c>
      <c r="E9" s="15" t="s">
        <v>35</v>
      </c>
      <c r="F9" s="3" t="s">
        <v>36</v>
      </c>
      <c r="G9" s="17" t="s">
        <v>40</v>
      </c>
      <c r="H9" s="3" t="s">
        <v>48</v>
      </c>
    </row>
    <row r="10" customFormat="false" ht="15" hidden="false" customHeight="false" outlineLevel="0" collapsed="false">
      <c r="A10" s="3" t="s">
        <v>49</v>
      </c>
      <c r="B10" s="3" t="s">
        <v>34</v>
      </c>
      <c r="C10" s="5" t="n">
        <v>1000</v>
      </c>
      <c r="D10" s="14" t="n">
        <v>7.9</v>
      </c>
      <c r="E10" s="15" t="s">
        <v>35</v>
      </c>
      <c r="F10" s="3" t="s">
        <v>50</v>
      </c>
      <c r="G10" s="17" t="s">
        <v>40</v>
      </c>
      <c r="H10" s="3" t="s">
        <v>51</v>
      </c>
    </row>
    <row r="11" customFormat="false" ht="15" hidden="false" customHeight="false" outlineLevel="0" collapsed="false">
      <c r="A11" s="3" t="s">
        <v>52</v>
      </c>
      <c r="B11" s="3" t="s">
        <v>34</v>
      </c>
      <c r="C11" s="5" t="n">
        <v>1000</v>
      </c>
      <c r="D11" s="14" t="n">
        <v>8.9</v>
      </c>
      <c r="E11" s="15" t="s">
        <v>35</v>
      </c>
      <c r="F11" s="3" t="s">
        <v>50</v>
      </c>
      <c r="G11" s="17" t="s">
        <v>40</v>
      </c>
      <c r="H11" s="3" t="s">
        <v>51</v>
      </c>
    </row>
    <row r="12" customFormat="false" ht="26.85" hidden="false" customHeight="false" outlineLevel="0" collapsed="false">
      <c r="A12" s="3" t="s">
        <v>53</v>
      </c>
      <c r="B12" s="3" t="s">
        <v>34</v>
      </c>
      <c r="C12" s="5" t="n">
        <v>800</v>
      </c>
      <c r="D12" s="14" t="n">
        <v>13.9</v>
      </c>
      <c r="E12" s="15" t="s">
        <v>35</v>
      </c>
      <c r="F12" s="3" t="s">
        <v>36</v>
      </c>
      <c r="G12" s="16" t="s">
        <v>37</v>
      </c>
      <c r="H12" s="3" t="s">
        <v>54</v>
      </c>
    </row>
    <row r="13" customFormat="false" ht="15" hidden="false" customHeight="false" outlineLevel="0" collapsed="false">
      <c r="A13" s="3" t="s">
        <v>55</v>
      </c>
      <c r="B13" s="3" t="s">
        <v>56</v>
      </c>
      <c r="C13" s="5" t="n">
        <v>230</v>
      </c>
      <c r="D13" s="14" t="n">
        <v>8.4</v>
      </c>
      <c r="E13" s="15" t="s">
        <v>35</v>
      </c>
      <c r="F13" s="3" t="s">
        <v>36</v>
      </c>
      <c r="G13" s="16" t="s">
        <v>37</v>
      </c>
      <c r="H13" s="3" t="s">
        <v>57</v>
      </c>
    </row>
    <row r="14" customFormat="false" ht="15" hidden="false" customHeight="false" outlineLevel="0" collapsed="false">
      <c r="A14" s="3" t="s">
        <v>58</v>
      </c>
      <c r="B14" s="3" t="s">
        <v>34</v>
      </c>
      <c r="C14" s="5" t="n">
        <v>250</v>
      </c>
      <c r="D14" s="14" t="n">
        <v>6.6</v>
      </c>
      <c r="E14" s="14" t="n">
        <v>6.9</v>
      </c>
      <c r="F14" s="3" t="s">
        <v>36</v>
      </c>
      <c r="G14" s="16" t="s">
        <v>37</v>
      </c>
      <c r="H14" s="3" t="s">
        <v>59</v>
      </c>
    </row>
    <row r="15" customFormat="false" ht="15" hidden="false" customHeight="false" outlineLevel="0" collapsed="false">
      <c r="A15" s="3" t="s">
        <v>60</v>
      </c>
      <c r="B15" s="3" t="s">
        <v>34</v>
      </c>
      <c r="C15" s="5" t="n">
        <v>200</v>
      </c>
      <c r="D15" s="14" t="n">
        <v>19.7</v>
      </c>
      <c r="E15" s="15" t="s">
        <v>35</v>
      </c>
      <c r="F15" s="3" t="s">
        <v>36</v>
      </c>
      <c r="G15" s="16" t="s">
        <v>37</v>
      </c>
      <c r="H15" s="3" t="s">
        <v>61</v>
      </c>
    </row>
    <row r="16" customFormat="false" ht="15" hidden="false" customHeight="false" outlineLevel="0" collapsed="false">
      <c r="A16" s="3" t="s">
        <v>62</v>
      </c>
      <c r="B16" s="3" t="s">
        <v>63</v>
      </c>
      <c r="C16" s="5" t="n">
        <v>4</v>
      </c>
      <c r="D16" s="14" t="n">
        <v>19.7</v>
      </c>
      <c r="E16" s="14" t="n">
        <v>23</v>
      </c>
      <c r="F16" s="3" t="s">
        <v>36</v>
      </c>
      <c r="G16" s="16" t="s">
        <v>37</v>
      </c>
      <c r="H16" s="3" t="s">
        <v>64</v>
      </c>
    </row>
    <row r="17" customFormat="false" ht="15" hidden="false" customHeight="false" outlineLevel="0" collapsed="false">
      <c r="A17" s="3" t="s">
        <v>65</v>
      </c>
      <c r="B17" s="3" t="s">
        <v>34</v>
      </c>
      <c r="C17" s="5" t="n">
        <v>100</v>
      </c>
      <c r="D17" s="14" t="n">
        <v>1.9</v>
      </c>
      <c r="E17" s="15" t="s">
        <v>35</v>
      </c>
      <c r="F17" s="3" t="s">
        <v>36</v>
      </c>
      <c r="G17" s="17" t="s">
        <v>40</v>
      </c>
      <c r="H17" s="3" t="s">
        <v>48</v>
      </c>
    </row>
    <row r="18" customFormat="false" ht="15" hidden="false" customHeight="false" outlineLevel="0" collapsed="false">
      <c r="A18" s="3" t="s">
        <v>66</v>
      </c>
      <c r="B18" s="3" t="s">
        <v>34</v>
      </c>
      <c r="C18" s="5" t="n">
        <v>1000</v>
      </c>
      <c r="D18" s="14" t="n">
        <v>3.8</v>
      </c>
      <c r="E18" s="15" t="s">
        <v>35</v>
      </c>
      <c r="F18" s="3" t="s">
        <v>36</v>
      </c>
      <c r="G18" s="16" t="s">
        <v>37</v>
      </c>
      <c r="H18" s="3" t="s">
        <v>67</v>
      </c>
    </row>
    <row r="19" customFormat="false" ht="26.85" hidden="false" customHeight="false" outlineLevel="0" collapsed="false">
      <c r="A19" s="3" t="s">
        <v>68</v>
      </c>
      <c r="B19" s="3" t="s">
        <v>34</v>
      </c>
      <c r="C19" s="5" t="n">
        <v>1000</v>
      </c>
      <c r="D19" s="14" t="n">
        <v>31</v>
      </c>
      <c r="E19" s="15" t="s">
        <v>35</v>
      </c>
      <c r="F19" s="3" t="s">
        <v>50</v>
      </c>
      <c r="G19" s="16" t="s">
        <v>37</v>
      </c>
      <c r="H19" s="3" t="s">
        <v>69</v>
      </c>
    </row>
    <row r="20" customFormat="false" ht="15" hidden="false" customHeight="false" outlineLevel="0" collapsed="false">
      <c r="A20" s="3" t="s">
        <v>70</v>
      </c>
      <c r="B20" s="3" t="s">
        <v>34</v>
      </c>
      <c r="C20" s="5" t="n">
        <v>400</v>
      </c>
      <c r="D20" s="14" t="n">
        <v>17</v>
      </c>
      <c r="E20" s="15" t="s">
        <v>35</v>
      </c>
      <c r="F20" s="3" t="s">
        <v>36</v>
      </c>
      <c r="G20" s="17" t="s">
        <v>40</v>
      </c>
      <c r="H20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8" t="s">
        <v>72</v>
      </c>
    </row>
    <row r="3" customFormat="false" ht="26.85" hidden="false" customHeight="false" outlineLevel="0" collapsed="false">
      <c r="A3" s="2" t="s">
        <v>1</v>
      </c>
      <c r="B3" s="2" t="s">
        <v>12</v>
      </c>
      <c r="C3" s="2" t="s">
        <v>73</v>
      </c>
      <c r="D3" s="2" t="s">
        <v>16</v>
      </c>
      <c r="E3" s="2" t="s">
        <v>74</v>
      </c>
      <c r="F3" s="2" t="s">
        <v>27</v>
      </c>
      <c r="G3" s="2" t="s">
        <v>75</v>
      </c>
    </row>
    <row r="4" customFormat="false" ht="15" hidden="false" customHeight="false" outlineLevel="0" collapsed="false">
      <c r="A4" s="3" t="s">
        <v>5</v>
      </c>
      <c r="B4" s="3" t="s">
        <v>39</v>
      </c>
      <c r="C4" s="5" t="n">
        <v>240</v>
      </c>
      <c r="D4" s="3" t="str">
        <f aca="false">INDEX(מחירים!$B$5:$B$20,MATCH(B4,מחירים!$A$5:$A$20,0))</f>
        <v>גרם</v>
      </c>
      <c r="E4" s="4" t="n">
        <f aca="false">INDEX(מחירים!$D$5:$D$20,MATCH(B4,מחירים!$A$5:$A$20,0))</f>
        <v>3.9</v>
      </c>
      <c r="F4" s="3" t="n">
        <f aca="false">INDEX(מחירים!$C$5:$C$20,MATCH(B4,מחירים!$A$5:$A$20,0))</f>
        <v>200</v>
      </c>
      <c r="G4" s="4" t="n">
        <f aca="false">C4/F4*E4</f>
        <v>4.68</v>
      </c>
    </row>
    <row r="5" customFormat="false" ht="15" hidden="false" customHeight="false" outlineLevel="0" collapsed="false">
      <c r="A5" s="3" t="s">
        <v>5</v>
      </c>
      <c r="B5" s="3" t="s">
        <v>42</v>
      </c>
      <c r="C5" s="5" t="n">
        <v>2</v>
      </c>
      <c r="D5" s="3" t="str">
        <f aca="false">INDEX(מחירים!$B$5:$B$20,MATCH(B5,מחירים!$A$5:$A$20,0))</f>
        <v>יחידה</v>
      </c>
      <c r="E5" s="4" t="n">
        <f aca="false">INDEX(מחירים!$D$5:$D$20,MATCH(B5,מחירים!$A$5:$A$20,0))</f>
        <v>14</v>
      </c>
      <c r="F5" s="3" t="n">
        <f aca="false">INDEX(מחירים!$C$5:$C$20,MATCH(B5,מחירים!$A$5:$A$20,0))</f>
        <v>12</v>
      </c>
      <c r="G5" s="4" t="n">
        <f aca="false">C5/F5*E5</f>
        <v>2.33333333333333</v>
      </c>
    </row>
    <row r="6" customFormat="false" ht="15" hidden="false" customHeight="false" outlineLevel="0" collapsed="false">
      <c r="A6" s="3" t="s">
        <v>5</v>
      </c>
      <c r="B6" s="3" t="s">
        <v>44</v>
      </c>
      <c r="C6" s="5" t="n">
        <v>60</v>
      </c>
      <c r="D6" s="3" t="str">
        <f aca="false">INDEX(מחירים!$B$5:$B$20,MATCH(B6,מחירים!$A$5:$A$20,0))</f>
        <v>מ"ל</v>
      </c>
      <c r="E6" s="4" t="n">
        <f aca="false">INDEX(מחירים!$D$5:$D$20,MATCH(B6,מחירים!$A$5:$A$20,0))</f>
        <v>8.9</v>
      </c>
      <c r="F6" s="3" t="n">
        <f aca="false">INDEX(מחירים!$C$5:$C$20,MATCH(B6,מחירים!$A$5:$A$20,0))</f>
        <v>1000</v>
      </c>
      <c r="G6" s="4" t="n">
        <f aca="false">C6/F6*E6</f>
        <v>0.534</v>
      </c>
    </row>
    <row r="7" customFormat="false" ht="15" hidden="false" customHeight="false" outlineLevel="0" collapsed="false">
      <c r="A7" s="3" t="s">
        <v>5</v>
      </c>
      <c r="B7" s="3" t="s">
        <v>33</v>
      </c>
      <c r="C7" s="5" t="n">
        <v>180</v>
      </c>
      <c r="D7" s="3" t="str">
        <f aca="false">INDEX(מחירים!$B$5:$B$20,MATCH(B7,מחירים!$A$5:$A$20,0))</f>
        <v>גרם</v>
      </c>
      <c r="E7" s="4" t="n">
        <f aca="false">INDEX(מחירים!$D$5:$D$20,MATCH(B7,מחירים!$A$5:$A$20,0))</f>
        <v>14.7</v>
      </c>
      <c r="F7" s="3" t="n">
        <f aca="false">INDEX(מחירים!$C$5:$C$20,MATCH(B7,מחירים!$A$5:$A$20,0))</f>
        <v>1000</v>
      </c>
      <c r="G7" s="4" t="n">
        <f aca="false">C7/F7*E7</f>
        <v>2.646</v>
      </c>
    </row>
    <row r="8" customFormat="false" ht="15" hidden="false" customHeight="false" outlineLevel="0" collapsed="false">
      <c r="A8" s="3" t="s">
        <v>5</v>
      </c>
      <c r="B8" s="3" t="s">
        <v>47</v>
      </c>
      <c r="C8" s="5" t="n">
        <v>8</v>
      </c>
      <c r="D8" s="3" t="str">
        <f aca="false">INDEX(מחירים!$B$5:$B$20,MATCH(B8,מחירים!$A$5:$A$20,0))</f>
        <v>גרם</v>
      </c>
      <c r="E8" s="4" t="n">
        <f aca="false">INDEX(מחירים!$D$5:$D$20,MATCH(B8,מחירים!$A$5:$A$20,0))</f>
        <v>4.9</v>
      </c>
      <c r="F8" s="3" t="n">
        <f aca="false">INDEX(מחירים!$C$5:$C$20,MATCH(B8,מחירים!$A$5:$A$20,0))</f>
        <v>150</v>
      </c>
      <c r="G8" s="4" t="n">
        <f aca="false">C8/F8*E8</f>
        <v>0.261333333333333</v>
      </c>
    </row>
    <row r="9" customFormat="false" ht="15" hidden="false" customHeight="false" outlineLevel="0" collapsed="false">
      <c r="A9" s="3" t="s">
        <v>5</v>
      </c>
      <c r="B9" s="3" t="s">
        <v>49</v>
      </c>
      <c r="C9" s="5" t="n">
        <v>300</v>
      </c>
      <c r="D9" s="3" t="str">
        <f aca="false">INDEX(מחירים!$B$5:$B$20,MATCH(B9,מחירים!$A$5:$A$20,0))</f>
        <v>גרם</v>
      </c>
      <c r="E9" s="4" t="n">
        <f aca="false">INDEX(מחירים!$D$5:$D$20,MATCH(B9,מחירים!$A$5:$A$20,0))</f>
        <v>7.9</v>
      </c>
      <c r="F9" s="3" t="n">
        <f aca="false">INDEX(מחירים!$C$5:$C$20,MATCH(B9,מחירים!$A$5:$A$20,0))</f>
        <v>1000</v>
      </c>
      <c r="G9" s="4" t="n">
        <f aca="false">C9/F9*E9</f>
        <v>2.37</v>
      </c>
    </row>
    <row r="10" customFormat="false" ht="15" hidden="false" customHeight="false" outlineLevel="0" collapsed="false">
      <c r="A10" s="3" t="s">
        <v>5</v>
      </c>
      <c r="B10" s="3" t="s">
        <v>55</v>
      </c>
      <c r="C10" s="5" t="n">
        <v>75</v>
      </c>
      <c r="D10" s="3" t="str">
        <f aca="false">INDEX(מחירים!$B$5:$B$20,MATCH(B10,מחירים!$A$5:$A$20,0))</f>
        <v>גרם (מסונן)</v>
      </c>
      <c r="E10" s="4" t="n">
        <f aca="false">INDEX(מחירים!$D$5:$D$20,MATCH(B10,מחירים!$A$5:$A$20,0))</f>
        <v>8.4</v>
      </c>
      <c r="F10" s="3" t="n">
        <f aca="false">INDEX(מחירים!$C$5:$C$20,MATCH(B10,מחירים!$A$5:$A$20,0))</f>
        <v>230</v>
      </c>
      <c r="G10" s="4" t="n">
        <f aca="false">C10/F10*E10</f>
        <v>2.73913043478261</v>
      </c>
    </row>
    <row r="11" customFormat="false" ht="15" hidden="false" customHeight="false" outlineLevel="0" collapsed="false">
      <c r="A11" s="3" t="s">
        <v>5</v>
      </c>
      <c r="B11" s="3" t="s">
        <v>58</v>
      </c>
      <c r="C11" s="5" t="n">
        <v>80</v>
      </c>
      <c r="D11" s="3" t="str">
        <f aca="false">INDEX(מחירים!$B$5:$B$20,MATCH(B11,מחירים!$A$5:$A$20,0))</f>
        <v>גרם</v>
      </c>
      <c r="E11" s="4" t="n">
        <f aca="false">INDEX(מחירים!$D$5:$D$20,MATCH(B11,מחירים!$A$5:$A$20,0))</f>
        <v>6.6</v>
      </c>
      <c r="F11" s="3" t="n">
        <f aca="false">INDEX(מחירים!$C$5:$C$20,MATCH(B11,מחירים!$A$5:$A$20,0))</f>
        <v>250</v>
      </c>
      <c r="G11" s="4" t="n">
        <f aca="false">C11/F11*E11</f>
        <v>2.112</v>
      </c>
    </row>
    <row r="12" customFormat="false" ht="15" hidden="false" customHeight="false" outlineLevel="0" collapsed="false">
      <c r="B12" s="6" t="s">
        <v>76</v>
      </c>
      <c r="G12" s="7" t="n">
        <f aca="false">SUM(G4:G11)</f>
        <v>17.6757971014493</v>
      </c>
    </row>
    <row r="14" customFormat="false" ht="15" hidden="false" customHeight="false" outlineLevel="0" collapsed="false">
      <c r="A14" s="3" t="s">
        <v>6</v>
      </c>
      <c r="B14" s="3" t="s">
        <v>39</v>
      </c>
      <c r="C14" s="5" t="n">
        <v>240</v>
      </c>
      <c r="D14" s="3" t="str">
        <f aca="false">INDEX(מחירים!$B$5:$B$20,MATCH(B14,מחירים!$A$5:$A$20,0))</f>
        <v>גרם</v>
      </c>
      <c r="E14" s="4" t="n">
        <f aca="false">INDEX(מחירים!$D$5:$D$20,MATCH(B14,מחירים!$A$5:$A$20,0))</f>
        <v>3.9</v>
      </c>
      <c r="F14" s="3" t="n">
        <f aca="false">INDEX(מחירים!$C$5:$C$20,MATCH(B14,מחירים!$A$5:$A$20,0))</f>
        <v>200</v>
      </c>
      <c r="G14" s="4" t="n">
        <f aca="false">C14/F14*E14</f>
        <v>4.68</v>
      </c>
    </row>
    <row r="15" customFormat="false" ht="15" hidden="false" customHeight="false" outlineLevel="0" collapsed="false">
      <c r="A15" s="3" t="s">
        <v>6</v>
      </c>
      <c r="B15" s="3" t="s">
        <v>42</v>
      </c>
      <c r="C15" s="5" t="n">
        <v>2</v>
      </c>
      <c r="D15" s="3" t="str">
        <f aca="false">INDEX(מחירים!$B$5:$B$20,MATCH(B15,מחירים!$A$5:$A$20,0))</f>
        <v>יחידה</v>
      </c>
      <c r="E15" s="4" t="n">
        <f aca="false">INDEX(מחירים!$D$5:$D$20,MATCH(B15,מחירים!$A$5:$A$20,0))</f>
        <v>14</v>
      </c>
      <c r="F15" s="3" t="n">
        <f aca="false">INDEX(מחירים!$C$5:$C$20,MATCH(B15,מחירים!$A$5:$A$20,0))</f>
        <v>12</v>
      </c>
      <c r="G15" s="4" t="n">
        <f aca="false">C15/F15*E15</f>
        <v>2.33333333333333</v>
      </c>
    </row>
    <row r="16" customFormat="false" ht="15" hidden="false" customHeight="false" outlineLevel="0" collapsed="false">
      <c r="A16" s="3" t="s">
        <v>6</v>
      </c>
      <c r="B16" s="3" t="s">
        <v>44</v>
      </c>
      <c r="C16" s="5" t="n">
        <v>60</v>
      </c>
      <c r="D16" s="3" t="str">
        <f aca="false">INDEX(מחירים!$B$5:$B$20,MATCH(B16,מחירים!$A$5:$A$20,0))</f>
        <v>מ"ל</v>
      </c>
      <c r="E16" s="4" t="n">
        <f aca="false">INDEX(מחירים!$D$5:$D$20,MATCH(B16,מחירים!$A$5:$A$20,0))</f>
        <v>8.9</v>
      </c>
      <c r="F16" s="3" t="n">
        <f aca="false">INDEX(מחירים!$C$5:$C$20,MATCH(B16,מחירים!$A$5:$A$20,0))</f>
        <v>1000</v>
      </c>
      <c r="G16" s="4" t="n">
        <f aca="false">C16/F16*E16</f>
        <v>0.534</v>
      </c>
    </row>
    <row r="17" customFormat="false" ht="15" hidden="false" customHeight="false" outlineLevel="0" collapsed="false">
      <c r="A17" s="3" t="s">
        <v>6</v>
      </c>
      <c r="B17" s="3" t="s">
        <v>33</v>
      </c>
      <c r="C17" s="5" t="n">
        <v>180</v>
      </c>
      <c r="D17" s="3" t="str">
        <f aca="false">INDEX(מחירים!$B$5:$B$20,MATCH(B17,מחירים!$A$5:$A$20,0))</f>
        <v>גרם</v>
      </c>
      <c r="E17" s="4" t="n">
        <f aca="false">INDEX(מחירים!$D$5:$D$20,MATCH(B17,מחירים!$A$5:$A$20,0))</f>
        <v>14.7</v>
      </c>
      <c r="F17" s="3" t="n">
        <f aca="false">INDEX(מחירים!$C$5:$C$20,MATCH(B17,מחירים!$A$5:$A$20,0))</f>
        <v>1000</v>
      </c>
      <c r="G17" s="4" t="n">
        <f aca="false">C17/F17*E17</f>
        <v>2.646</v>
      </c>
    </row>
    <row r="18" customFormat="false" ht="15" hidden="false" customHeight="false" outlineLevel="0" collapsed="false">
      <c r="A18" s="3" t="s">
        <v>6</v>
      </c>
      <c r="B18" s="3" t="s">
        <v>47</v>
      </c>
      <c r="C18" s="5" t="n">
        <v>8</v>
      </c>
      <c r="D18" s="3" t="str">
        <f aca="false">INDEX(מחירים!$B$5:$B$20,MATCH(B18,מחירים!$A$5:$A$20,0))</f>
        <v>גרם</v>
      </c>
      <c r="E18" s="4" t="n">
        <f aca="false">INDEX(מחירים!$D$5:$D$20,MATCH(B18,מחירים!$A$5:$A$20,0))</f>
        <v>4.9</v>
      </c>
      <c r="F18" s="3" t="n">
        <f aca="false">INDEX(מחירים!$C$5:$C$20,MATCH(B18,מחירים!$A$5:$A$20,0))</f>
        <v>150</v>
      </c>
      <c r="G18" s="4" t="n">
        <f aca="false">C18/F18*E18</f>
        <v>0.261333333333333</v>
      </c>
    </row>
    <row r="19" customFormat="false" ht="15" hidden="false" customHeight="false" outlineLevel="0" collapsed="false">
      <c r="A19" s="3" t="s">
        <v>6</v>
      </c>
      <c r="B19" s="3" t="s">
        <v>53</v>
      </c>
      <c r="C19" s="5" t="n">
        <v>150</v>
      </c>
      <c r="D19" s="3" t="str">
        <f aca="false">INDEX(מחירים!$B$5:$B$20,MATCH(B19,מחירים!$A$5:$A$20,0))</f>
        <v>גרם</v>
      </c>
      <c r="E19" s="4" t="n">
        <f aca="false">INDEX(מחירים!$D$5:$D$20,MATCH(B19,מחירים!$A$5:$A$20,0))</f>
        <v>13.9</v>
      </c>
      <c r="F19" s="3" t="n">
        <f aca="false">INDEX(מחירים!$C$5:$C$20,MATCH(B19,מחירים!$A$5:$A$20,0))</f>
        <v>800</v>
      </c>
      <c r="G19" s="4" t="n">
        <f aca="false">C19/F19*E19</f>
        <v>2.60625</v>
      </c>
    </row>
    <row r="20" customFormat="false" ht="15" hidden="false" customHeight="false" outlineLevel="0" collapsed="false">
      <c r="A20" s="3" t="s">
        <v>6</v>
      </c>
      <c r="B20" s="3" t="s">
        <v>52</v>
      </c>
      <c r="C20" s="5" t="n">
        <v>200</v>
      </c>
      <c r="D20" s="3" t="str">
        <f aca="false">INDEX(מחירים!$B$5:$B$20,MATCH(B20,מחירים!$A$5:$A$20,0))</f>
        <v>גרם</v>
      </c>
      <c r="E20" s="4" t="n">
        <f aca="false">INDEX(מחירים!$D$5:$D$20,MATCH(B20,מחירים!$A$5:$A$20,0))</f>
        <v>8.9</v>
      </c>
      <c r="F20" s="3" t="n">
        <f aca="false">INDEX(מחירים!$C$5:$C$20,MATCH(B20,מחירים!$A$5:$A$20,0))</f>
        <v>1000</v>
      </c>
      <c r="G20" s="4" t="n">
        <f aca="false">C20/F20*E20</f>
        <v>1.78</v>
      </c>
    </row>
    <row r="21" customFormat="false" ht="15" hidden="false" customHeight="false" outlineLevel="0" collapsed="false">
      <c r="A21" s="3" t="s">
        <v>6</v>
      </c>
      <c r="B21" s="3" t="s">
        <v>58</v>
      </c>
      <c r="C21" s="5" t="n">
        <v>100</v>
      </c>
      <c r="D21" s="3" t="str">
        <f aca="false">INDEX(מחירים!$B$5:$B$20,MATCH(B21,מחירים!$A$5:$A$20,0))</f>
        <v>גרם</v>
      </c>
      <c r="E21" s="4" t="n">
        <f aca="false">INDEX(מחירים!$D$5:$D$20,MATCH(B21,מחירים!$A$5:$A$20,0))</f>
        <v>6.6</v>
      </c>
      <c r="F21" s="3" t="n">
        <f aca="false">INDEX(מחירים!$C$5:$C$20,MATCH(B21,מחירים!$A$5:$A$20,0))</f>
        <v>250</v>
      </c>
      <c r="G21" s="4" t="n">
        <f aca="false">C21/F21*E21</f>
        <v>2.64</v>
      </c>
    </row>
    <row r="22" customFormat="false" ht="15" hidden="false" customHeight="false" outlineLevel="0" collapsed="false">
      <c r="B22" s="6" t="s">
        <v>76</v>
      </c>
      <c r="G22" s="7" t="n">
        <f aca="false">SUM(G14:G21)</f>
        <v>17.4809166666667</v>
      </c>
    </row>
    <row r="24" customFormat="false" ht="15" hidden="false" customHeight="false" outlineLevel="0" collapsed="false">
      <c r="A24" s="3" t="s">
        <v>7</v>
      </c>
      <c r="B24" s="3" t="s">
        <v>39</v>
      </c>
      <c r="C24" s="5" t="n">
        <v>250</v>
      </c>
      <c r="D24" s="3" t="str">
        <f aca="false">INDEX(מחירים!$B$5:$B$20,MATCH(B24,מחירים!$A$5:$A$20,0))</f>
        <v>גרם</v>
      </c>
      <c r="E24" s="4" t="n">
        <f aca="false">INDEX(מחירים!$D$5:$D$20,MATCH(B24,מחירים!$A$5:$A$20,0))</f>
        <v>3.9</v>
      </c>
      <c r="F24" s="3" t="n">
        <f aca="false">INDEX(מחירים!$C$5:$C$20,MATCH(B24,מחירים!$A$5:$A$20,0))</f>
        <v>200</v>
      </c>
      <c r="G24" s="4" t="n">
        <f aca="false">C24/F24*E24</f>
        <v>4.875</v>
      </c>
    </row>
    <row r="25" customFormat="false" ht="15" hidden="false" customHeight="false" outlineLevel="0" collapsed="false">
      <c r="A25" s="3" t="s">
        <v>7</v>
      </c>
      <c r="B25" s="3" t="s">
        <v>44</v>
      </c>
      <c r="C25" s="5" t="n">
        <v>30</v>
      </c>
      <c r="D25" s="3" t="str">
        <f aca="false">INDEX(מחירים!$B$5:$B$20,MATCH(B25,מחירים!$A$5:$A$20,0))</f>
        <v>מ"ל</v>
      </c>
      <c r="E25" s="4" t="n">
        <f aca="false">INDEX(מחירים!$D$5:$D$20,MATCH(B25,מחירים!$A$5:$A$20,0))</f>
        <v>8.9</v>
      </c>
      <c r="F25" s="3" t="n">
        <f aca="false">INDEX(מחירים!$C$5:$C$20,MATCH(B25,מחירים!$A$5:$A$20,0))</f>
        <v>1000</v>
      </c>
      <c r="G25" s="4" t="n">
        <f aca="false">C25/F25*E25</f>
        <v>0.267</v>
      </c>
    </row>
    <row r="26" customFormat="false" ht="15" hidden="false" customHeight="false" outlineLevel="0" collapsed="false">
      <c r="A26" s="3" t="s">
        <v>7</v>
      </c>
      <c r="B26" s="3" t="s">
        <v>33</v>
      </c>
      <c r="C26" s="5" t="n">
        <v>300</v>
      </c>
      <c r="D26" s="3" t="str">
        <f aca="false">INDEX(מחירים!$B$5:$B$20,MATCH(B26,מחירים!$A$5:$A$20,0))</f>
        <v>גרם</v>
      </c>
      <c r="E26" s="4" t="n">
        <f aca="false">INDEX(מחירים!$D$5:$D$20,MATCH(B26,מחירים!$A$5:$A$20,0))</f>
        <v>14.7</v>
      </c>
      <c r="F26" s="3" t="n">
        <f aca="false">INDEX(מחירים!$C$5:$C$20,MATCH(B26,מחירים!$A$5:$A$20,0))</f>
        <v>1000</v>
      </c>
      <c r="G26" s="4" t="n">
        <f aca="false">C26/F26*E26</f>
        <v>4.41</v>
      </c>
    </row>
    <row r="27" customFormat="false" ht="15" hidden="false" customHeight="false" outlineLevel="0" collapsed="false">
      <c r="A27" s="3" t="s">
        <v>7</v>
      </c>
      <c r="B27" s="3" t="s">
        <v>47</v>
      </c>
      <c r="C27" s="5" t="n">
        <v>10</v>
      </c>
      <c r="D27" s="3" t="str">
        <f aca="false">INDEX(מחירים!$B$5:$B$20,MATCH(B27,מחירים!$A$5:$A$20,0))</f>
        <v>גרם</v>
      </c>
      <c r="E27" s="4" t="n">
        <f aca="false">INDEX(מחירים!$D$5:$D$20,MATCH(B27,מחירים!$A$5:$A$20,0))</f>
        <v>4.9</v>
      </c>
      <c r="F27" s="3" t="n">
        <f aca="false">INDEX(מחירים!$C$5:$C$20,MATCH(B27,מחירים!$A$5:$A$20,0))</f>
        <v>150</v>
      </c>
      <c r="G27" s="4" t="n">
        <f aca="false">C27/F27*E27</f>
        <v>0.326666666666667</v>
      </c>
    </row>
    <row r="28" customFormat="false" ht="15" hidden="false" customHeight="false" outlineLevel="0" collapsed="false">
      <c r="A28" s="3" t="s">
        <v>7</v>
      </c>
      <c r="B28" s="3" t="s">
        <v>65</v>
      </c>
      <c r="C28" s="5" t="n">
        <v>100</v>
      </c>
      <c r="D28" s="3" t="str">
        <f aca="false">INDEX(מחירים!$B$5:$B$20,MATCH(B28,מחירים!$A$5:$A$20,0))</f>
        <v>גרם</v>
      </c>
      <c r="E28" s="4" t="n">
        <f aca="false">INDEX(מחירים!$D$5:$D$20,MATCH(B28,מחירים!$A$5:$A$20,0))</f>
        <v>1.9</v>
      </c>
      <c r="F28" s="3" t="n">
        <f aca="false">INDEX(מחירים!$C$5:$C$20,MATCH(B28,מחירים!$A$5:$A$20,0))</f>
        <v>100</v>
      </c>
      <c r="G28" s="4" t="n">
        <f aca="false">C28/F28*E28</f>
        <v>1.9</v>
      </c>
    </row>
    <row r="29" customFormat="false" ht="15" hidden="false" customHeight="false" outlineLevel="0" collapsed="false">
      <c r="A29" s="3" t="s">
        <v>7</v>
      </c>
      <c r="B29" s="3" t="s">
        <v>60</v>
      </c>
      <c r="C29" s="5" t="n">
        <v>100</v>
      </c>
      <c r="D29" s="3" t="str">
        <f aca="false">INDEX(מחירים!$B$5:$B$20,MATCH(B29,מחירים!$A$5:$A$20,0))</f>
        <v>גרם</v>
      </c>
      <c r="E29" s="4" t="n">
        <f aca="false">INDEX(מחירים!$D$5:$D$20,MATCH(B29,מחירים!$A$5:$A$20,0))</f>
        <v>19.7</v>
      </c>
      <c r="F29" s="3" t="n">
        <f aca="false">INDEX(מחירים!$C$5:$C$20,MATCH(B29,מחירים!$A$5:$A$20,0))</f>
        <v>200</v>
      </c>
      <c r="G29" s="4" t="n">
        <f aca="false">C29/F29*E29</f>
        <v>9.85</v>
      </c>
    </row>
    <row r="30" customFormat="false" ht="15" hidden="false" customHeight="false" outlineLevel="0" collapsed="false">
      <c r="A30" s="3" t="s">
        <v>7</v>
      </c>
      <c r="B30" s="3" t="s">
        <v>55</v>
      </c>
      <c r="C30" s="5" t="n">
        <v>75</v>
      </c>
      <c r="D30" s="3" t="str">
        <f aca="false">INDEX(מחירים!$B$5:$B$20,MATCH(B30,מחירים!$A$5:$A$20,0))</f>
        <v>גרם (מסונן)</v>
      </c>
      <c r="E30" s="4" t="n">
        <f aca="false">INDEX(מחירים!$D$5:$D$20,MATCH(B30,מחירים!$A$5:$A$20,0))</f>
        <v>8.4</v>
      </c>
      <c r="F30" s="3" t="n">
        <f aca="false">INDEX(מחירים!$C$5:$C$20,MATCH(B30,מחירים!$A$5:$A$20,0))</f>
        <v>230</v>
      </c>
      <c r="G30" s="4" t="n">
        <f aca="false">C30/F30*E30</f>
        <v>2.73913043478261</v>
      </c>
    </row>
    <row r="31" customFormat="false" ht="15" hidden="false" customHeight="false" outlineLevel="0" collapsed="false">
      <c r="A31" s="3" t="s">
        <v>7</v>
      </c>
      <c r="B31" s="3" t="s">
        <v>52</v>
      </c>
      <c r="C31" s="5" t="n">
        <v>150</v>
      </c>
      <c r="D31" s="3" t="str">
        <f aca="false">INDEX(מחירים!$B$5:$B$20,MATCH(B31,מחירים!$A$5:$A$20,0))</f>
        <v>גרם</v>
      </c>
      <c r="E31" s="4" t="n">
        <f aca="false">INDEX(מחירים!$D$5:$D$20,MATCH(B31,מחירים!$A$5:$A$20,0))</f>
        <v>8.9</v>
      </c>
      <c r="F31" s="3" t="n">
        <f aca="false">INDEX(מחירים!$C$5:$C$20,MATCH(B31,מחירים!$A$5:$A$20,0))</f>
        <v>1000</v>
      </c>
      <c r="G31" s="4" t="n">
        <f aca="false">C31/F31*E31</f>
        <v>1.335</v>
      </c>
    </row>
    <row r="32" customFormat="false" ht="15" hidden="false" customHeight="false" outlineLevel="0" collapsed="false">
      <c r="A32" s="3" t="s">
        <v>7</v>
      </c>
      <c r="B32" s="3" t="s">
        <v>53</v>
      </c>
      <c r="C32" s="5" t="n">
        <v>100</v>
      </c>
      <c r="D32" s="3" t="str">
        <f aca="false">INDEX(מחירים!$B$5:$B$20,MATCH(B32,מחירים!$A$5:$A$20,0))</f>
        <v>גרם</v>
      </c>
      <c r="E32" s="4" t="n">
        <f aca="false">INDEX(מחירים!$D$5:$D$20,MATCH(B32,מחירים!$A$5:$A$20,0))</f>
        <v>13.9</v>
      </c>
      <c r="F32" s="3" t="n">
        <f aca="false">INDEX(מחירים!$C$5:$C$20,MATCH(B32,מחירים!$A$5:$A$20,0))</f>
        <v>800</v>
      </c>
      <c r="G32" s="4" t="n">
        <f aca="false">C32/F32*E32</f>
        <v>1.7375</v>
      </c>
    </row>
    <row r="33" customFormat="false" ht="15" hidden="false" customHeight="false" outlineLevel="0" collapsed="false">
      <c r="B33" s="6" t="s">
        <v>76</v>
      </c>
      <c r="G33" s="7" t="n">
        <f aca="false">SUM(G24:G32)</f>
        <v>27.4402971014493</v>
      </c>
    </row>
    <row r="35" customFormat="false" ht="15" hidden="false" customHeight="false" outlineLevel="0" collapsed="false">
      <c r="A35" s="3" t="s">
        <v>8</v>
      </c>
      <c r="B35" s="3" t="s">
        <v>39</v>
      </c>
      <c r="C35" s="5" t="n">
        <v>250</v>
      </c>
      <c r="D35" s="3" t="str">
        <f aca="false">INDEX(מחירים!$B$5:$B$20,MATCH(B35,מחירים!$A$5:$A$20,0))</f>
        <v>גרם</v>
      </c>
      <c r="E35" s="4" t="n">
        <f aca="false">INDEX(מחירים!$D$5:$D$20,MATCH(B35,מחירים!$A$5:$A$20,0))</f>
        <v>3.9</v>
      </c>
      <c r="F35" s="3" t="n">
        <f aca="false">INDEX(מחירים!$C$5:$C$20,MATCH(B35,מחירים!$A$5:$A$20,0))</f>
        <v>200</v>
      </c>
      <c r="G35" s="4" t="n">
        <f aca="false">C35/F35*E35</f>
        <v>4.875</v>
      </c>
    </row>
    <row r="36" customFormat="false" ht="15" hidden="false" customHeight="false" outlineLevel="0" collapsed="false">
      <c r="A36" s="3" t="s">
        <v>8</v>
      </c>
      <c r="B36" s="3" t="s">
        <v>44</v>
      </c>
      <c r="C36" s="5" t="n">
        <v>30</v>
      </c>
      <c r="D36" s="3" t="str">
        <f aca="false">INDEX(מחירים!$B$5:$B$20,MATCH(B36,מחירים!$A$5:$A$20,0))</f>
        <v>מ"ל</v>
      </c>
      <c r="E36" s="4" t="n">
        <f aca="false">INDEX(מחירים!$D$5:$D$20,MATCH(B36,מחירים!$A$5:$A$20,0))</f>
        <v>8.9</v>
      </c>
      <c r="F36" s="3" t="n">
        <f aca="false">INDEX(מחירים!$C$5:$C$20,MATCH(B36,מחירים!$A$5:$A$20,0))</f>
        <v>1000</v>
      </c>
      <c r="G36" s="4" t="n">
        <f aca="false">C36/F36*E36</f>
        <v>0.267</v>
      </c>
    </row>
    <row r="37" customFormat="false" ht="15" hidden="false" customHeight="false" outlineLevel="0" collapsed="false">
      <c r="A37" s="3" t="s">
        <v>8</v>
      </c>
      <c r="B37" s="3" t="s">
        <v>33</v>
      </c>
      <c r="C37" s="5" t="n">
        <v>300</v>
      </c>
      <c r="D37" s="3" t="str">
        <f aca="false">INDEX(מחירים!$B$5:$B$20,MATCH(B37,מחירים!$A$5:$A$20,0))</f>
        <v>גרם</v>
      </c>
      <c r="E37" s="4" t="n">
        <f aca="false">INDEX(מחירים!$D$5:$D$20,MATCH(B37,מחירים!$A$5:$A$20,0))</f>
        <v>14.7</v>
      </c>
      <c r="F37" s="3" t="n">
        <f aca="false">INDEX(מחירים!$C$5:$C$20,MATCH(B37,מחירים!$A$5:$A$20,0))</f>
        <v>1000</v>
      </c>
      <c r="G37" s="4" t="n">
        <f aca="false">C37/F37*E37</f>
        <v>4.41</v>
      </c>
    </row>
    <row r="38" customFormat="false" ht="15" hidden="false" customHeight="false" outlineLevel="0" collapsed="false">
      <c r="A38" s="3" t="s">
        <v>8</v>
      </c>
      <c r="B38" s="3" t="s">
        <v>47</v>
      </c>
      <c r="C38" s="5" t="n">
        <v>10</v>
      </c>
      <c r="D38" s="3" t="str">
        <f aca="false">INDEX(מחירים!$B$5:$B$20,MATCH(B38,מחירים!$A$5:$A$20,0))</f>
        <v>גרם</v>
      </c>
      <c r="E38" s="4" t="n">
        <f aca="false">INDEX(מחירים!$D$5:$D$20,MATCH(B38,מחירים!$A$5:$A$20,0))</f>
        <v>4.9</v>
      </c>
      <c r="F38" s="3" t="n">
        <f aca="false">INDEX(מחירים!$C$5:$C$20,MATCH(B38,מחירים!$A$5:$A$20,0))</f>
        <v>150</v>
      </c>
      <c r="G38" s="4" t="n">
        <f aca="false">C38/F38*E38</f>
        <v>0.326666666666667</v>
      </c>
    </row>
    <row r="39" customFormat="false" ht="15" hidden="false" customHeight="false" outlineLevel="0" collapsed="false">
      <c r="A39" s="3" t="s">
        <v>8</v>
      </c>
      <c r="B39" s="3" t="s">
        <v>53</v>
      </c>
      <c r="C39" s="5" t="n">
        <v>300</v>
      </c>
      <c r="D39" s="3" t="str">
        <f aca="false">INDEX(מחירים!$B$5:$B$20,MATCH(B39,מחירים!$A$5:$A$20,0))</f>
        <v>גרם</v>
      </c>
      <c r="E39" s="4" t="n">
        <f aca="false">INDEX(מחירים!$D$5:$D$20,MATCH(B39,מחירים!$A$5:$A$20,0))</f>
        <v>13.9</v>
      </c>
      <c r="F39" s="3" t="n">
        <f aca="false">INDEX(מחירים!$C$5:$C$20,MATCH(B39,מחירים!$A$5:$A$20,0))</f>
        <v>800</v>
      </c>
      <c r="G39" s="4" t="n">
        <f aca="false">C39/F39*E39</f>
        <v>5.2125</v>
      </c>
    </row>
    <row r="40" customFormat="false" ht="15" hidden="false" customHeight="false" outlineLevel="0" collapsed="false">
      <c r="A40" s="3" t="s">
        <v>8</v>
      </c>
      <c r="B40" s="3" t="s">
        <v>58</v>
      </c>
      <c r="C40" s="5" t="n">
        <v>220</v>
      </c>
      <c r="D40" s="3" t="str">
        <f aca="false">INDEX(מחירים!$B$5:$B$20,MATCH(B40,מחירים!$A$5:$A$20,0))</f>
        <v>גרם</v>
      </c>
      <c r="E40" s="4" t="n">
        <f aca="false">INDEX(מחירים!$D$5:$D$20,MATCH(B40,מחירים!$A$5:$A$20,0))</f>
        <v>6.6</v>
      </c>
      <c r="F40" s="3" t="n">
        <f aca="false">INDEX(מחירים!$C$5:$C$20,MATCH(B40,מחירים!$A$5:$A$20,0))</f>
        <v>250</v>
      </c>
      <c r="G40" s="4" t="n">
        <f aca="false">C40/F40*E40</f>
        <v>5.808</v>
      </c>
    </row>
    <row r="41" customFormat="false" ht="15" hidden="false" customHeight="false" outlineLevel="0" collapsed="false">
      <c r="A41" s="3" t="s">
        <v>8</v>
      </c>
      <c r="B41" s="3" t="s">
        <v>42</v>
      </c>
      <c r="C41" s="5" t="n">
        <v>1</v>
      </c>
      <c r="D41" s="3" t="str">
        <f aca="false">INDEX(מחירים!$B$5:$B$20,MATCH(B41,מחירים!$A$5:$A$20,0))</f>
        <v>יחידה</v>
      </c>
      <c r="E41" s="4" t="n">
        <f aca="false">INDEX(מחירים!$D$5:$D$20,MATCH(B41,מחירים!$A$5:$A$20,0))</f>
        <v>14</v>
      </c>
      <c r="F41" s="3" t="n">
        <f aca="false">INDEX(מחירים!$C$5:$C$20,MATCH(B41,מחירים!$A$5:$A$20,0))</f>
        <v>12</v>
      </c>
      <c r="G41" s="4" t="n">
        <f aca="false">C41/F41*E41</f>
        <v>1.16666666666667</v>
      </c>
    </row>
    <row r="42" customFormat="false" ht="15" hidden="false" customHeight="false" outlineLevel="0" collapsed="false">
      <c r="A42" s="3" t="s">
        <v>8</v>
      </c>
      <c r="B42" s="3" t="s">
        <v>60</v>
      </c>
      <c r="C42" s="5" t="n">
        <v>50</v>
      </c>
      <c r="D42" s="3" t="str">
        <f aca="false">INDEX(מחירים!$B$5:$B$20,MATCH(B42,מחירים!$A$5:$A$20,0))</f>
        <v>גרם</v>
      </c>
      <c r="E42" s="4" t="n">
        <f aca="false">INDEX(מחירים!$D$5:$D$20,MATCH(B42,מחירים!$A$5:$A$20,0))</f>
        <v>19.7</v>
      </c>
      <c r="F42" s="3" t="n">
        <f aca="false">INDEX(מחירים!$C$5:$C$20,MATCH(B42,מחירים!$A$5:$A$20,0))</f>
        <v>200</v>
      </c>
      <c r="G42" s="4" t="n">
        <f aca="false">C42/F42*E42</f>
        <v>4.925</v>
      </c>
    </row>
    <row r="43" customFormat="false" ht="15" hidden="false" customHeight="false" outlineLevel="0" collapsed="false">
      <c r="B43" s="6" t="s">
        <v>76</v>
      </c>
      <c r="G43" s="7" t="n">
        <f aca="false">SUM(G35:G42)</f>
        <v>26.9908333333333</v>
      </c>
    </row>
    <row r="45" customFormat="false" ht="15" hidden="false" customHeight="false" outlineLevel="0" collapsed="false">
      <c r="A45" s="3" t="s">
        <v>9</v>
      </c>
      <c r="B45" s="3" t="s">
        <v>66</v>
      </c>
      <c r="C45" s="5" t="n">
        <v>140</v>
      </c>
      <c r="D45" s="3" t="str">
        <f aca="false">INDEX(מחירים!$B$5:$B$20,MATCH(B45,מחירים!$A$5:$A$20,0))</f>
        <v>גרם</v>
      </c>
      <c r="E45" s="4" t="n">
        <f aca="false">INDEX(מחירים!$D$5:$D$20,MATCH(B45,מחירים!$A$5:$A$20,0))</f>
        <v>3.8</v>
      </c>
      <c r="F45" s="3" t="n">
        <f aca="false">INDEX(מחירים!$C$5:$C$20,MATCH(B45,מחירים!$A$5:$A$20,0))</f>
        <v>1000</v>
      </c>
      <c r="G45" s="4" t="n">
        <f aca="false">C45/F45*E45</f>
        <v>0.532</v>
      </c>
    </row>
    <row r="46" customFormat="false" ht="15" hidden="false" customHeight="false" outlineLevel="0" collapsed="false">
      <c r="A46" s="3" t="s">
        <v>9</v>
      </c>
      <c r="B46" s="3" t="s">
        <v>33</v>
      </c>
      <c r="C46" s="5" t="n">
        <v>140</v>
      </c>
      <c r="D46" s="3" t="str">
        <f aca="false">INDEX(מחירים!$B$5:$B$20,MATCH(B46,מחירים!$A$5:$A$20,0))</f>
        <v>גרם</v>
      </c>
      <c r="E46" s="4" t="n">
        <f aca="false">INDEX(מחירים!$D$5:$D$20,MATCH(B46,מחירים!$A$5:$A$20,0))</f>
        <v>14.7</v>
      </c>
      <c r="F46" s="3" t="n">
        <f aca="false">INDEX(מחירים!$C$5:$C$20,MATCH(B46,מחירים!$A$5:$A$20,0))</f>
        <v>1000</v>
      </c>
      <c r="G46" s="4" t="n">
        <f aca="false">C46/F46*E46</f>
        <v>2.058</v>
      </c>
    </row>
    <row r="47" customFormat="false" ht="15" hidden="false" customHeight="false" outlineLevel="0" collapsed="false">
      <c r="A47" s="3" t="s">
        <v>9</v>
      </c>
      <c r="B47" s="3" t="s">
        <v>47</v>
      </c>
      <c r="C47" s="5" t="n">
        <v>8</v>
      </c>
      <c r="D47" s="3" t="str">
        <f aca="false">INDEX(מחירים!$B$5:$B$20,MATCH(B47,מחירים!$A$5:$A$20,0))</f>
        <v>גרם</v>
      </c>
      <c r="E47" s="4" t="n">
        <f aca="false">INDEX(מחירים!$D$5:$D$20,MATCH(B47,מחירים!$A$5:$A$20,0))</f>
        <v>4.9</v>
      </c>
      <c r="F47" s="3" t="n">
        <f aca="false">INDEX(מחירים!$C$5:$C$20,MATCH(B47,מחירים!$A$5:$A$20,0))</f>
        <v>150</v>
      </c>
      <c r="G47" s="4" t="n">
        <f aca="false">C47/F47*E47</f>
        <v>0.261333333333333</v>
      </c>
    </row>
    <row r="48" customFormat="false" ht="15" hidden="false" customHeight="false" outlineLevel="0" collapsed="false">
      <c r="A48" s="3" t="s">
        <v>9</v>
      </c>
      <c r="B48" s="3" t="s">
        <v>39</v>
      </c>
      <c r="C48" s="5" t="n">
        <v>220</v>
      </c>
      <c r="D48" s="3" t="str">
        <f aca="false">INDEX(מחירים!$B$5:$B$20,MATCH(B48,מחירים!$A$5:$A$20,0))</f>
        <v>גרם</v>
      </c>
      <c r="E48" s="4" t="n">
        <f aca="false">INDEX(מחירים!$D$5:$D$20,MATCH(B48,מחירים!$A$5:$A$20,0))</f>
        <v>3.9</v>
      </c>
      <c r="F48" s="3" t="n">
        <f aca="false">INDEX(מחירים!$C$5:$C$20,MATCH(B48,מחירים!$A$5:$A$20,0))</f>
        <v>200</v>
      </c>
      <c r="G48" s="4" t="n">
        <f aca="false">C48/F48*E48</f>
        <v>4.29</v>
      </c>
    </row>
    <row r="49" customFormat="false" ht="15" hidden="false" customHeight="false" outlineLevel="0" collapsed="false">
      <c r="A49" s="3" t="s">
        <v>9</v>
      </c>
      <c r="B49" s="3" t="s">
        <v>44</v>
      </c>
      <c r="C49" s="5" t="n">
        <v>30</v>
      </c>
      <c r="D49" s="3" t="str">
        <f aca="false">INDEX(מחירים!$B$5:$B$20,MATCH(B49,מחירים!$A$5:$A$20,0))</f>
        <v>מ"ל</v>
      </c>
      <c r="E49" s="4" t="n">
        <f aca="false">INDEX(מחירים!$D$5:$D$20,MATCH(B49,מחירים!$A$5:$A$20,0))</f>
        <v>8.9</v>
      </c>
      <c r="F49" s="3" t="n">
        <f aca="false">INDEX(מחירים!$C$5:$C$20,MATCH(B49,מחירים!$A$5:$A$20,0))</f>
        <v>1000</v>
      </c>
      <c r="G49" s="4" t="n">
        <f aca="false">C49/F49*E49</f>
        <v>0.267</v>
      </c>
    </row>
    <row r="50" customFormat="false" ht="15" hidden="false" customHeight="false" outlineLevel="0" collapsed="false">
      <c r="A50" s="3" t="s">
        <v>9</v>
      </c>
      <c r="B50" s="3" t="s">
        <v>65</v>
      </c>
      <c r="C50" s="5" t="n">
        <v>60</v>
      </c>
      <c r="D50" s="3" t="str">
        <f aca="false">INDEX(מחירים!$B$5:$B$20,MATCH(B50,מחירים!$A$5:$A$20,0))</f>
        <v>גרם</v>
      </c>
      <c r="E50" s="4" t="n">
        <f aca="false">INDEX(מחירים!$D$5:$D$20,MATCH(B50,מחירים!$A$5:$A$20,0))</f>
        <v>1.9</v>
      </c>
      <c r="F50" s="3" t="n">
        <f aca="false">INDEX(מחירים!$C$5:$C$20,MATCH(B50,מחירים!$A$5:$A$20,0))</f>
        <v>100</v>
      </c>
      <c r="G50" s="4" t="n">
        <f aca="false">C50/F50*E50</f>
        <v>1.14</v>
      </c>
    </row>
    <row r="51" customFormat="false" ht="15" hidden="false" customHeight="false" outlineLevel="0" collapsed="false">
      <c r="A51" s="3" t="s">
        <v>9</v>
      </c>
      <c r="B51" s="3" t="s">
        <v>68</v>
      </c>
      <c r="C51" s="5" t="n">
        <v>100</v>
      </c>
      <c r="D51" s="3" t="str">
        <f aca="false">INDEX(מחירים!$B$5:$B$20,MATCH(B51,מחירים!$A$5:$A$20,0))</f>
        <v>גרם</v>
      </c>
      <c r="E51" s="4" t="n">
        <f aca="false">INDEX(מחירים!$D$5:$D$20,MATCH(B51,מחירים!$A$5:$A$20,0))</f>
        <v>31</v>
      </c>
      <c r="F51" s="3" t="n">
        <f aca="false">INDEX(מחירים!$C$5:$C$20,MATCH(B51,מחירים!$A$5:$A$20,0))</f>
        <v>1000</v>
      </c>
      <c r="G51" s="4" t="n">
        <f aca="false">C51/F51*E51</f>
        <v>3.1</v>
      </c>
    </row>
    <row r="52" customFormat="false" ht="15" hidden="false" customHeight="false" outlineLevel="0" collapsed="false">
      <c r="A52" s="3" t="s">
        <v>9</v>
      </c>
      <c r="B52" s="3" t="s">
        <v>62</v>
      </c>
      <c r="C52" s="5" t="n">
        <v>1</v>
      </c>
      <c r="D52" s="3" t="str">
        <f aca="false">INDEX(מחירים!$B$5:$B$20,MATCH(B52,מחירים!$A$5:$A$20,0))</f>
        <v>קופסה</v>
      </c>
      <c r="E52" s="4" t="n">
        <f aca="false">INDEX(מחירים!$D$5:$D$20,MATCH(B52,מחירים!$A$5:$A$20,0))</f>
        <v>19.7</v>
      </c>
      <c r="F52" s="3" t="n">
        <f aca="false">INDEX(מחירים!$C$5:$C$20,MATCH(B52,מחירים!$A$5:$A$20,0))</f>
        <v>4</v>
      </c>
      <c r="G52" s="4" t="n">
        <f aca="false">C52/F52*E52</f>
        <v>4.925</v>
      </c>
    </row>
    <row r="53" customFormat="false" ht="15" hidden="false" customHeight="false" outlineLevel="0" collapsed="false">
      <c r="A53" s="3" t="s">
        <v>9</v>
      </c>
      <c r="B53" s="3" t="s">
        <v>42</v>
      </c>
      <c r="C53" s="5" t="n">
        <v>1</v>
      </c>
      <c r="D53" s="3" t="str">
        <f aca="false">INDEX(מחירים!$B$5:$B$20,MATCH(B53,מחירים!$A$5:$A$20,0))</f>
        <v>יחידה</v>
      </c>
      <c r="E53" s="4" t="n">
        <f aca="false">INDEX(מחירים!$D$5:$D$20,MATCH(B53,מחירים!$A$5:$A$20,0))</f>
        <v>14</v>
      </c>
      <c r="F53" s="3" t="n">
        <f aca="false">INDEX(מחירים!$C$5:$C$20,MATCH(B53,מחירים!$A$5:$A$20,0))</f>
        <v>12</v>
      </c>
      <c r="G53" s="4" t="n">
        <f aca="false">C53/F53*E53</f>
        <v>1.16666666666667</v>
      </c>
    </row>
    <row r="54" customFormat="false" ht="15" hidden="false" customHeight="false" outlineLevel="0" collapsed="false">
      <c r="A54" s="3" t="s">
        <v>9</v>
      </c>
      <c r="B54" s="3" t="s">
        <v>70</v>
      </c>
      <c r="C54" s="5" t="n">
        <v>10</v>
      </c>
      <c r="D54" s="3" t="str">
        <f aca="false">INDEX(מחירים!$B$5:$B$20,MATCH(B54,מחירים!$A$5:$A$20,0))</f>
        <v>גרם</v>
      </c>
      <c r="E54" s="4" t="n">
        <f aca="false">INDEX(מחירים!$D$5:$D$20,MATCH(B54,מחירים!$A$5:$A$20,0))</f>
        <v>17</v>
      </c>
      <c r="F54" s="3" t="n">
        <f aca="false">INDEX(מחירים!$C$5:$C$20,MATCH(B54,מחירים!$A$5:$A$20,0))</f>
        <v>400</v>
      </c>
      <c r="G54" s="4" t="n">
        <f aca="false">C54/F54*E54</f>
        <v>0.425</v>
      </c>
    </row>
    <row r="55" customFormat="false" ht="15" hidden="false" customHeight="false" outlineLevel="0" collapsed="false">
      <c r="B55" s="6" t="s">
        <v>76</v>
      </c>
      <c r="G55" s="7" t="n">
        <f aca="false">SUM(G45:G54)</f>
        <v>18.165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2026-10-13T07:37:44Z</dcterms:created>
  <dc:creator>openpyxl</dc:creator>
  <dc:description/>
  <dc:language>en-US</dc:language>
  <cp:lastModifiedBy/>
  <dcterms:modified xsi:type="dcterms:W3CDTF">2026-10-13T07:37:44Z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